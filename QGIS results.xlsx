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onietzko/Library/Mobile Documents/com~apple~CloudDocs/Dissertation/Dissertation/"/>
    </mc:Choice>
  </mc:AlternateContent>
  <xr:revisionPtr revIDLastSave="0" documentId="13_ncr:1_{2F0AD126-A4D9-A24C-AFEA-E55EC520A14A}" xr6:coauthVersionLast="47" xr6:coauthVersionMax="47" xr10:uidLastSave="{00000000-0000-0000-0000-000000000000}"/>
  <bookViews>
    <workbookView xWindow="0" yWindow="740" windowWidth="29400" windowHeight="18380" xr2:uid="{BDD6B5B8-6563-814F-A6DB-B7077B6258B4}"/>
  </bookViews>
  <sheets>
    <sheet name="Guanaco" sheetId="6" r:id="rId1"/>
    <sheet name="Osorno" sheetId="4" r:id="rId2"/>
    <sheet name="Coropun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5" i="2"/>
  <c r="D36" i="2"/>
  <c r="D40" i="2"/>
  <c r="D41" i="2"/>
  <c r="D42" i="2"/>
  <c r="D4" i="2"/>
  <c r="D9" i="4"/>
  <c r="D10" i="4"/>
  <c r="D11" i="4"/>
  <c r="D12" i="4"/>
  <c r="D13" i="4"/>
  <c r="D14" i="4"/>
  <c r="D15" i="4"/>
  <c r="D17" i="4"/>
  <c r="D18" i="4"/>
  <c r="D19" i="4"/>
  <c r="D20" i="4"/>
  <c r="D24" i="4"/>
  <c r="D27" i="4"/>
  <c r="D28" i="4"/>
  <c r="D29" i="4"/>
  <c r="D33" i="4"/>
  <c r="C9" i="4"/>
  <c r="C10" i="4"/>
  <c r="C11" i="4"/>
  <c r="C12" i="4"/>
  <c r="C13" i="4"/>
  <c r="C14" i="4"/>
  <c r="C15" i="4"/>
  <c r="C17" i="4"/>
  <c r="C18" i="4"/>
  <c r="C19" i="4"/>
  <c r="C20" i="4"/>
  <c r="C21" i="4"/>
  <c r="C24" i="4"/>
  <c r="C27" i="4"/>
  <c r="C28" i="4"/>
  <c r="C29" i="4"/>
  <c r="C33" i="4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5" i="2"/>
  <c r="C36" i="2"/>
  <c r="C37" i="2"/>
  <c r="C40" i="2"/>
  <c r="C41" i="2"/>
  <c r="C4" i="2"/>
  <c r="C7" i="4"/>
  <c r="C4" i="4"/>
  <c r="D5" i="4"/>
  <c r="C16" i="4"/>
  <c r="D21" i="4"/>
  <c r="C22" i="4"/>
  <c r="D25" i="4"/>
  <c r="C30" i="4"/>
  <c r="D31" i="4"/>
  <c r="E8" i="6"/>
  <c r="E5" i="6"/>
  <c r="E6" i="6"/>
  <c r="E7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4" i="6"/>
  <c r="C8" i="2"/>
  <c r="D33" i="6"/>
  <c r="C33" i="2"/>
  <c r="D38" i="2"/>
  <c r="B5" i="2"/>
  <c r="D5" i="2" s="1"/>
  <c r="D37" i="2"/>
  <c r="C42" i="2"/>
  <c r="D32" i="4" l="1"/>
  <c r="D16" i="4"/>
  <c r="D8" i="4"/>
  <c r="C32" i="4"/>
  <c r="C8" i="4"/>
  <c r="D23" i="4"/>
  <c r="D7" i="4"/>
  <c r="C26" i="4"/>
  <c r="C25" i="4"/>
  <c r="C31" i="4"/>
  <c r="C23" i="4"/>
  <c r="D30" i="4"/>
  <c r="D22" i="4"/>
  <c r="D6" i="4"/>
  <c r="C5" i="4"/>
  <c r="D26" i="4"/>
  <c r="C6" i="4"/>
  <c r="C39" i="2"/>
  <c r="C38" i="2"/>
  <c r="C34" i="2"/>
  <c r="D39" i="2"/>
  <c r="D7" i="2"/>
  <c r="D34" i="2"/>
  <c r="D33" i="2"/>
  <c r="D6" i="2"/>
  <c r="D8" i="2"/>
  <c r="E33" i="6"/>
  <c r="E34" i="6"/>
  <c r="D34" i="6"/>
</calcChain>
</file>

<file path=xl/sharedStrings.xml><?xml version="1.0" encoding="utf-8"?>
<sst xmlns="http://schemas.openxmlformats.org/spreadsheetml/2006/main" count="14" uniqueCount="6">
  <si>
    <t>Year</t>
  </si>
  <si>
    <t>Area (km²)</t>
  </si>
  <si>
    <t>Change from previous (km²)</t>
  </si>
  <si>
    <t>Change (%)</t>
  </si>
  <si>
    <t xml:space="preserve">Sentinel 2 nur ab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</si>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</sst>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13"/>
      <color rgb="FF041223"/>
      <name val="Arial"/>
      <family val="2"/>
    </font>
    <font>
      <sz val="13"/>
      <color rgb="FF041223"/>
      <name val="Helvetica Neue"/>
      <family val="2"/>
    </font>
    <font>
      <sz val="12"/>
      <color rgb="FF212529"/>
      <name val="Arial"/>
      <family val="2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4" fontId="2" fillId="0" borderId="2" xfId="0" applyNumberFormat="1" applyFont="1" applyBorder="1"/>
    <xf numFmtId="10" fontId="0" fillId="0" borderId="0" xfId="0" applyNumberFormat="1"/>
    <xf numFmtId="14" fontId="3" fillId="0" borderId="0" xfId="0" applyNumberFormat="1" applyFont="1"/>
    <xf numFmtId="14" fontId="4" fillId="0" borderId="0" xfId="0" applyNumberFormat="1" applyFont="1"/>
    <xf numFmtId="14" fontId="5" fillId="0" borderId="0" xfId="0" applyNumberFormat="1" applyFont="1"/>
    <xf numFmtId="14" fontId="6" fillId="0" borderId="0" xfId="0" applyNumberFormat="1" applyFont="1"/>
    <xf numFmtId="0" fontId="0" fillId="2" borderId="4" xfId="0" applyFill="1" applyBorder="1"/>
    <xf numFmtId="0" fontId="7" fillId="3" borderId="5" xfId="0" applyFont="1" applyFill="1" applyBorder="1" applyAlignment="1">
      <alignment horizontal="left" wrapText="1"/>
    </xf>
    <xf numFmtId="1" fontId="7" fillId="3" borderId="6" xfId="0" applyNumberFormat="1" applyFont="1" applyFill="1" applyBorder="1" applyAlignment="1">
      <alignment horizontal="left"/>
    </xf>
    <xf numFmtId="1" fontId="0" fillId="2" borderId="7" xfId="0" applyNumberFormat="1" applyFill="1" applyBorder="1" applyAlignment="1">
      <alignment horizontal="center"/>
    </xf>
    <xf numFmtId="1" fontId="0" fillId="0" borderId="0" xfId="0" applyNumberFormat="1"/>
    <xf numFmtId="1" fontId="0" fillId="0" borderId="7" xfId="0" applyNumberFormat="1" applyBorder="1" applyAlignment="1">
      <alignment horizontal="center"/>
    </xf>
    <xf numFmtId="10" fontId="0" fillId="2" borderId="4" xfId="0" applyNumberFormat="1" applyFill="1" applyBorder="1"/>
    <xf numFmtId="14" fontId="2" fillId="4" borderId="2" xfId="0" applyNumberFormat="1" applyFont="1" applyFill="1" applyBorder="1"/>
    <xf numFmtId="16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2" fillId="4" borderId="0" xfId="0" applyFont="1" applyFill="1"/>
    <xf numFmtId="4" fontId="0" fillId="0" borderId="0" xfId="0" applyNumberFormat="1"/>
    <xf numFmtId="10" fontId="0" fillId="5" borderId="0" xfId="0" applyNumberFormat="1" applyFont="1" applyFill="1" applyBorder="1"/>
    <xf numFmtId="14" fontId="3" fillId="0" borderId="0" xfId="0" applyNumberFormat="1" applyFont="1" applyBorder="1"/>
    <xf numFmtId="1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2" fontId="0" fillId="0" borderId="0" xfId="0" applyNumberFormat="1" applyBorder="1"/>
    <xf numFmtId="2" fontId="0" fillId="2" borderId="4" xfId="0" applyNumberFormat="1" applyFill="1" applyBorder="1"/>
  </cellXfs>
  <cellStyles count="1">
    <cellStyle name="Normal" xfId="0" builtinId="0"/>
  </cellStyles>
  <dxfs count="6">
    <dxf>
      <numFmt numFmtId="2" formatCode="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41223"/>
        <name val="Arial"/>
        <family val="2"/>
        <scheme val="none"/>
      </font>
      <numFmt numFmtId="19" formatCode="dd/mm/yy"/>
    </dxf>
    <dxf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1DC0E-2DE6-C742-81FE-8A4E6610DAA4}" name="Table1" displayName="Table1" ref="A2:D33" totalsRowShown="0" headerRowDxfId="5" headerRowBorderDxfId="4">
  <autoFilter ref="A2:D33" xr:uid="{BAF1DC0E-2DE6-C742-81FE-8A4E6610DAA4}"/>
  <tableColumns count="4">
    <tableColumn id="3" xr3:uid="{CADC2ED7-93FC-274C-9CB5-0DC5E835FA2E}" name="Year" dataDxfId="2"/>
    <tableColumn id="7" xr3:uid="{DE3BE0BD-A77E-DB4B-B4B4-A44374B4984D}" name="Area (km²)" dataDxfId="0"/>
    <tableColumn id="8" xr3:uid="{7CAC190A-43FD-2342-B9C1-F3DC3E769DEB}" name="Change from previous (km²)" dataDxfId="1">
      <calculatedColumnFormula>B2-B3</calculatedColumnFormula>
    </tableColumn>
    <tableColumn id="9" xr3:uid="{3C855ED6-E325-704C-8281-C5B30A1214E1}" name="Change (%)" dataDxfId="3">
      <calculatedColumnFormula>(B3-B2)/B2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E4A0-3D39-0048-9F97-6663AFF30AAD}">
  <dimension ref="B1:F34"/>
  <sheetViews>
    <sheetView tabSelected="1" zoomScale="91" workbookViewId="0">
      <selection activeCell="C8" sqref="C8"/>
    </sheetView>
  </sheetViews>
  <sheetFormatPr baseColWidth="10" defaultRowHeight="16" x14ac:dyDescent="0.2"/>
  <cols>
    <col min="1" max="1" width="2.6640625" customWidth="1"/>
    <col min="2" max="2" width="9.33203125" style="15" customWidth="1"/>
    <col min="3" max="3" width="8.6640625" customWidth="1"/>
    <col min="4" max="4" width="10.33203125" customWidth="1"/>
    <col min="5" max="5" width="13" style="6" customWidth="1"/>
  </cols>
  <sheetData>
    <row r="1" spans="2:6" x14ac:dyDescent="0.2">
      <c r="E1"/>
    </row>
    <row r="2" spans="2:6" ht="17" x14ac:dyDescent="0.2">
      <c r="B2" s="13" t="s">
        <v>0</v>
      </c>
      <c r="C2" s="12" t="s">
        <v>1</v>
      </c>
      <c r="D2" s="12" t="s">
        <v>2</v>
      </c>
      <c r="E2" s="12" t="s">
        <v>3</v>
      </c>
    </row>
    <row r="3" spans="2:6" x14ac:dyDescent="0.2">
      <c r="B3" s="14">
        <v>1975</v>
      </c>
      <c r="C3" s="28">
        <v>2.0207321616681702</v>
      </c>
      <c r="D3" s="28"/>
      <c r="E3" s="11"/>
    </row>
    <row r="4" spans="2:6" x14ac:dyDescent="0.2">
      <c r="B4" s="16">
        <v>1976</v>
      </c>
      <c r="C4" s="28">
        <v>1.93788196416031</v>
      </c>
      <c r="D4" s="28">
        <f>C4-C3</f>
        <v>-8.2850197507860157E-2</v>
      </c>
      <c r="E4" s="17">
        <f>(C4-C3)/C3</f>
        <v>-4.1000088522105294E-2</v>
      </c>
    </row>
    <row r="5" spans="2:6" x14ac:dyDescent="0.2">
      <c r="B5" s="14">
        <v>1977</v>
      </c>
      <c r="C5" s="28">
        <v>2.00992588617913</v>
      </c>
      <c r="D5" s="28">
        <f t="shared" ref="D5:D34" si="0">C5-C4</f>
        <v>7.2043922018820039E-2</v>
      </c>
      <c r="E5" s="17">
        <f t="shared" ref="E5:E34" si="1">(C5-C4)/C4</f>
        <v>3.7176630646870636E-2</v>
      </c>
      <c r="F5" t="s">
        <v>5</v>
      </c>
    </row>
    <row r="6" spans="2:6" x14ac:dyDescent="0.2">
      <c r="B6" s="14">
        <v>1978</v>
      </c>
      <c r="C6" s="28">
        <v>2.0531496747771198</v>
      </c>
      <c r="D6" s="28">
        <f t="shared" si="0"/>
        <v>4.322378859798981E-2</v>
      </c>
      <c r="E6" s="17">
        <f t="shared" si="1"/>
        <v>2.1505165387047307E-2</v>
      </c>
    </row>
    <row r="7" spans="2:6" x14ac:dyDescent="0.2">
      <c r="B7" s="14">
        <v>1981</v>
      </c>
      <c r="C7" s="28">
        <v>2.2483376065840699</v>
      </c>
      <c r="D7" s="28">
        <f t="shared" si="0"/>
        <v>0.19518793180695004</v>
      </c>
      <c r="E7" s="17">
        <f t="shared" si="1"/>
        <v>9.5067560930811687E-2</v>
      </c>
    </row>
    <row r="8" spans="2:6" x14ac:dyDescent="0.2">
      <c r="B8" s="14">
        <v>1986</v>
      </c>
      <c r="C8" s="28">
        <v>2.0450451857055501</v>
      </c>
      <c r="D8" s="28">
        <f t="shared" si="0"/>
        <v>-0.20329242087851984</v>
      </c>
      <c r="E8" s="17">
        <f>(C8-C7)/C7</f>
        <v>-9.0418992362710504E-2</v>
      </c>
    </row>
    <row r="9" spans="2:6" x14ac:dyDescent="0.2">
      <c r="B9" s="14">
        <v>1988</v>
      </c>
      <c r="C9" s="28">
        <v>2.0006990811888099</v>
      </c>
      <c r="D9" s="28">
        <f t="shared" si="0"/>
        <v>-4.4346104516740148E-2</v>
      </c>
      <c r="E9" s="17">
        <f t="shared" si="1"/>
        <v>-2.1684657545324865E-2</v>
      </c>
    </row>
    <row r="10" spans="2:6" x14ac:dyDescent="0.2">
      <c r="B10" s="14">
        <v>1989</v>
      </c>
      <c r="C10" s="28">
        <v>1.5839882423638101</v>
      </c>
      <c r="D10" s="28">
        <f t="shared" si="0"/>
        <v>-0.41671083882499982</v>
      </c>
      <c r="E10" s="17">
        <f t="shared" si="1"/>
        <v>-0.20828261618303506</v>
      </c>
    </row>
    <row r="11" spans="2:6" x14ac:dyDescent="0.2">
      <c r="B11" s="14">
        <v>1990</v>
      </c>
      <c r="C11" s="28">
        <v>2.0099255622775498</v>
      </c>
      <c r="D11" s="28">
        <f t="shared" si="0"/>
        <v>0.42593731991373973</v>
      </c>
      <c r="E11" s="17">
        <f t="shared" si="1"/>
        <v>0.26890181916887645</v>
      </c>
    </row>
    <row r="12" spans="2:6" x14ac:dyDescent="0.2">
      <c r="B12" s="14">
        <v>1993</v>
      </c>
      <c r="C12" s="28">
        <v>2.04289046707849</v>
      </c>
      <c r="D12" s="28">
        <f t="shared" si="0"/>
        <v>3.2964904800940165E-2</v>
      </c>
      <c r="E12" s="17">
        <f t="shared" si="1"/>
        <v>1.6401057541447425E-2</v>
      </c>
    </row>
    <row r="13" spans="2:6" x14ac:dyDescent="0.2">
      <c r="B13" s="14">
        <v>1995</v>
      </c>
      <c r="C13" s="28">
        <v>1.8460338125281499</v>
      </c>
      <c r="D13" s="28">
        <f t="shared" si="0"/>
        <v>-0.19685665455034007</v>
      </c>
      <c r="E13" s="17">
        <f t="shared" si="1"/>
        <v>-9.6361825424670033E-2</v>
      </c>
    </row>
    <row r="14" spans="2:6" x14ac:dyDescent="0.2">
      <c r="B14" s="16">
        <v>1998</v>
      </c>
      <c r="C14" s="28">
        <v>2.0872794073395302</v>
      </c>
      <c r="D14" s="28">
        <f t="shared" si="0"/>
        <v>0.2412455948113803</v>
      </c>
      <c r="E14" s="17">
        <f t="shared" si="1"/>
        <v>0.13068319397735928</v>
      </c>
    </row>
    <row r="15" spans="2:6" x14ac:dyDescent="0.2">
      <c r="B15" s="16">
        <v>1999</v>
      </c>
      <c r="C15" s="28">
        <v>1.9225765567204101</v>
      </c>
      <c r="D15" s="28">
        <f t="shared" si="0"/>
        <v>-0.16470285061912016</v>
      </c>
      <c r="E15" s="17">
        <f t="shared" si="1"/>
        <v>-7.8907907604498562E-2</v>
      </c>
    </row>
    <row r="16" spans="2:6" x14ac:dyDescent="0.2">
      <c r="B16" s="14">
        <v>2000</v>
      </c>
      <c r="C16" s="28">
        <v>1.95319373446624</v>
      </c>
      <c r="D16" s="28">
        <f t="shared" si="0"/>
        <v>3.0617177745829949E-2</v>
      </c>
      <c r="E16" s="17">
        <f t="shared" si="1"/>
        <v>1.5925075981399497E-2</v>
      </c>
    </row>
    <row r="17" spans="2:5" x14ac:dyDescent="0.2">
      <c r="B17" s="14">
        <v>2001</v>
      </c>
      <c r="C17" s="28">
        <v>1.8793524288579799</v>
      </c>
      <c r="D17" s="28">
        <f t="shared" si="0"/>
        <v>-7.3841305608260077E-2</v>
      </c>
      <c r="E17" s="17">
        <f t="shared" si="1"/>
        <v>-3.7805418021392076E-2</v>
      </c>
    </row>
    <row r="18" spans="2:5" x14ac:dyDescent="0.2">
      <c r="B18" s="14">
        <v>2002</v>
      </c>
      <c r="C18" s="28">
        <v>1.8973625325438701</v>
      </c>
      <c r="D18" s="28">
        <f t="shared" si="0"/>
        <v>1.8010103685890178E-2</v>
      </c>
      <c r="E18" s="17">
        <f t="shared" si="1"/>
        <v>9.5831433260414704E-3</v>
      </c>
    </row>
    <row r="19" spans="2:5" x14ac:dyDescent="0.2">
      <c r="B19" s="16">
        <v>2004</v>
      </c>
      <c r="C19" s="28">
        <v>1.8433324333727199</v>
      </c>
      <c r="D19" s="28">
        <f t="shared" si="0"/>
        <v>-5.4030099171150203E-2</v>
      </c>
      <c r="E19" s="17">
        <f t="shared" si="1"/>
        <v>-2.8476423585064622E-2</v>
      </c>
    </row>
    <row r="20" spans="2:5" x14ac:dyDescent="0.2">
      <c r="B20" s="16">
        <v>2005</v>
      </c>
      <c r="C20" s="28">
        <v>1.8064116921179401</v>
      </c>
      <c r="D20" s="28">
        <f t="shared" si="0"/>
        <v>-3.6920741254779843E-2</v>
      </c>
      <c r="E20" s="17">
        <f t="shared" si="1"/>
        <v>-2.0029344998409467E-2</v>
      </c>
    </row>
    <row r="21" spans="2:5" x14ac:dyDescent="0.2">
      <c r="B21" s="14">
        <v>2006</v>
      </c>
      <c r="C21" s="28">
        <v>2.0441436170504601</v>
      </c>
      <c r="D21" s="28">
        <f t="shared" si="0"/>
        <v>0.23773192493252004</v>
      </c>
      <c r="E21" s="17">
        <f t="shared" si="1"/>
        <v>0.13160450963079717</v>
      </c>
    </row>
    <row r="22" spans="2:5" x14ac:dyDescent="0.2">
      <c r="B22" s="14">
        <v>2007</v>
      </c>
      <c r="C22" s="28">
        <v>1.84783497810621</v>
      </c>
      <c r="D22" s="28">
        <f t="shared" si="0"/>
        <v>-0.1963086389442501</v>
      </c>
      <c r="E22" s="17">
        <f t="shared" si="1"/>
        <v>-9.6034660826575469E-2</v>
      </c>
    </row>
    <row r="23" spans="2:5" x14ac:dyDescent="0.2">
      <c r="B23" s="14">
        <v>2008</v>
      </c>
      <c r="C23" s="28">
        <v>2.0099252223091901</v>
      </c>
      <c r="D23" s="28">
        <f t="shared" si="0"/>
        <v>0.16209024420298013</v>
      </c>
      <c r="E23" s="17">
        <f t="shared" si="1"/>
        <v>8.7719004198687431E-2</v>
      </c>
    </row>
    <row r="24" spans="2:5" x14ac:dyDescent="0.2">
      <c r="B24" s="14">
        <v>2010</v>
      </c>
      <c r="C24" s="28">
        <v>1.7622871025792699</v>
      </c>
      <c r="D24" s="28">
        <f t="shared" si="0"/>
        <v>-0.24763811972992023</v>
      </c>
      <c r="E24" s="17">
        <f t="shared" si="1"/>
        <v>-0.12320762831435608</v>
      </c>
    </row>
    <row r="25" spans="2:5" x14ac:dyDescent="0.2">
      <c r="B25" s="14">
        <v>2015</v>
      </c>
      <c r="C25" s="28">
        <v>1.66417599091087</v>
      </c>
      <c r="D25" s="28">
        <f t="shared" si="0"/>
        <v>-9.811111166839992E-2</v>
      </c>
      <c r="E25" s="17">
        <f t="shared" si="1"/>
        <v>-5.5672603813989925E-2</v>
      </c>
    </row>
    <row r="26" spans="2:5" x14ac:dyDescent="0.2">
      <c r="B26" s="14">
        <v>2016</v>
      </c>
      <c r="C26" s="28">
        <v>1.75828451687206</v>
      </c>
      <c r="D26" s="28">
        <f t="shared" si="0"/>
        <v>9.4108525961190015E-2</v>
      </c>
      <c r="E26" s="17">
        <f t="shared" si="1"/>
        <v>5.6549623642677758E-2</v>
      </c>
    </row>
    <row r="27" spans="2:5" x14ac:dyDescent="0.2">
      <c r="B27" s="14">
        <v>2018</v>
      </c>
      <c r="C27" s="28">
        <v>1.8083127092729301</v>
      </c>
      <c r="D27" s="28">
        <f t="shared" si="0"/>
        <v>5.0028192400870086E-2</v>
      </c>
      <c r="E27" s="17">
        <f t="shared" si="1"/>
        <v>2.8452842484144075E-2</v>
      </c>
    </row>
    <row r="28" spans="2:5" x14ac:dyDescent="0.2">
      <c r="B28" s="14">
        <v>2019</v>
      </c>
      <c r="C28" s="28">
        <v>1.76328755118846</v>
      </c>
      <c r="D28" s="28">
        <f t="shared" si="0"/>
        <v>-4.5025158084470052E-2</v>
      </c>
      <c r="E28" s="17">
        <f t="shared" si="1"/>
        <v>-2.4898988904730621E-2</v>
      </c>
    </row>
    <row r="29" spans="2:5" x14ac:dyDescent="0.2">
      <c r="B29" s="14">
        <v>2020</v>
      </c>
      <c r="C29" s="28">
        <v>1.68744510982669</v>
      </c>
      <c r="D29" s="28">
        <f t="shared" si="0"/>
        <v>-7.5842441361769986E-2</v>
      </c>
      <c r="E29" s="17">
        <f t="shared" si="1"/>
        <v>-4.301195304795976E-2</v>
      </c>
    </row>
    <row r="30" spans="2:5" x14ac:dyDescent="0.2">
      <c r="B30" s="14">
        <v>2021</v>
      </c>
      <c r="C30" s="28">
        <v>1.66663344857675</v>
      </c>
      <c r="D30" s="28">
        <f t="shared" si="0"/>
        <v>-2.081166124994005E-2</v>
      </c>
      <c r="E30" s="17">
        <f t="shared" si="1"/>
        <v>-1.2333237465767121E-2</v>
      </c>
    </row>
    <row r="31" spans="2:5" x14ac:dyDescent="0.2">
      <c r="B31" s="14">
        <v>2022</v>
      </c>
      <c r="C31" s="28">
        <v>1.6586290050332</v>
      </c>
      <c r="D31" s="28">
        <f t="shared" si="0"/>
        <v>-8.0044435435500105E-3</v>
      </c>
      <c r="E31" s="17">
        <f t="shared" si="1"/>
        <v>-4.8027618492749811E-3</v>
      </c>
    </row>
    <row r="32" spans="2:5" x14ac:dyDescent="0.2">
      <c r="B32" s="14">
        <v>2023</v>
      </c>
      <c r="C32" s="28">
        <v>1.60229746732714</v>
      </c>
      <c r="D32" s="28">
        <f t="shared" si="0"/>
        <v>-5.6331537706060031E-2</v>
      </c>
      <c r="E32" s="17">
        <f t="shared" si="1"/>
        <v>-3.396271109158161E-2</v>
      </c>
    </row>
    <row r="33" spans="2:5" x14ac:dyDescent="0.2">
      <c r="B33" s="14">
        <v>2024</v>
      </c>
      <c r="C33" s="28">
        <v>1.5000401386179862</v>
      </c>
      <c r="D33" s="28">
        <f t="shared" si="0"/>
        <v>-0.10225732870915372</v>
      </c>
      <c r="E33" s="17">
        <f t="shared" si="1"/>
        <v>-6.3819191376326329E-2</v>
      </c>
    </row>
    <row r="34" spans="2:5" x14ac:dyDescent="0.2">
      <c r="B34" s="14">
        <v>2025</v>
      </c>
      <c r="C34" s="28">
        <v>1.6687343841502</v>
      </c>
      <c r="D34" s="28">
        <f t="shared" si="0"/>
        <v>0.16869424553221379</v>
      </c>
      <c r="E34" s="17">
        <f t="shared" si="1"/>
        <v>0.11245982103361235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911C-97EB-FD45-8824-68026F0AC30E}">
  <dimension ref="A2:E40"/>
  <sheetViews>
    <sheetView showGridLines="0" zoomScale="92" workbookViewId="0">
      <selection activeCell="B14" sqref="B14"/>
    </sheetView>
  </sheetViews>
  <sheetFormatPr baseColWidth="10" defaultRowHeight="16" x14ac:dyDescent="0.2"/>
  <cols>
    <col min="1" max="1" width="13.6640625" customWidth="1"/>
    <col min="2" max="2" width="12.33203125" customWidth="1"/>
    <col min="3" max="3" width="11.33203125" customWidth="1"/>
    <col min="4" max="4" width="13" customWidth="1"/>
    <col min="5" max="5" width="12.83203125" customWidth="1"/>
  </cols>
  <sheetData>
    <row r="2" spans="1:4" ht="17" x14ac:dyDescent="0.2">
      <c r="A2" s="3" t="s">
        <v>0</v>
      </c>
      <c r="B2" s="26" t="s">
        <v>1</v>
      </c>
      <c r="C2" s="4" t="s">
        <v>2</v>
      </c>
      <c r="D2" s="4" t="s">
        <v>3</v>
      </c>
    </row>
    <row r="3" spans="1:4" x14ac:dyDescent="0.2">
      <c r="A3" s="7">
        <v>30793</v>
      </c>
      <c r="B3" s="27">
        <v>7.3733707773272004</v>
      </c>
      <c r="C3" s="2"/>
      <c r="D3" s="17"/>
    </row>
    <row r="4" spans="1:4" x14ac:dyDescent="0.2">
      <c r="A4" s="24">
        <v>31113</v>
      </c>
      <c r="B4" s="27">
        <v>8.5198028861540394</v>
      </c>
      <c r="C4" s="22">
        <f t="shared" ref="C4:C33" si="0">B3-B4</f>
        <v>-1.146432108826839</v>
      </c>
      <c r="D4" s="6">
        <f>(B4-B3)/B3</f>
        <v>0.15548276947526748</v>
      </c>
    </row>
    <row r="5" spans="1:4" x14ac:dyDescent="0.2">
      <c r="A5" s="24">
        <v>31497</v>
      </c>
      <c r="B5" s="27">
        <v>6.7041523127622575</v>
      </c>
      <c r="C5" s="22">
        <f t="shared" si="0"/>
        <v>1.8156505733917818</v>
      </c>
      <c r="D5" s="6">
        <f t="shared" ref="D4:D33" si="1">(B5-B4)/B4</f>
        <v>-0.21310945777190304</v>
      </c>
    </row>
    <row r="6" spans="1:4" x14ac:dyDescent="0.2">
      <c r="A6" s="24">
        <v>31865</v>
      </c>
      <c r="B6" s="27">
        <v>7.2733707773271998</v>
      </c>
      <c r="C6" s="22">
        <f t="shared" si="0"/>
        <v>-0.56921846456494229</v>
      </c>
      <c r="D6" s="6">
        <f t="shared" si="1"/>
        <v>8.4905359844130959E-2</v>
      </c>
    </row>
    <row r="7" spans="1:4" x14ac:dyDescent="0.2">
      <c r="A7" s="7">
        <v>32929</v>
      </c>
      <c r="B7" s="27">
        <v>6.4041523127622577</v>
      </c>
      <c r="C7" s="22">
        <f t="shared" si="0"/>
        <v>0.86921846456494212</v>
      </c>
      <c r="D7" s="6">
        <f t="shared" si="1"/>
        <v>-0.1195069646764743</v>
      </c>
    </row>
    <row r="8" spans="1:4" x14ac:dyDescent="0.2">
      <c r="A8" s="24">
        <v>35888</v>
      </c>
      <c r="B8" s="27">
        <v>5.4037895661165498</v>
      </c>
      <c r="C8" s="22">
        <f t="shared" si="0"/>
        <v>1.0003627466457079</v>
      </c>
      <c r="D8" s="6">
        <f t="shared" si="1"/>
        <v>-0.15620533331978617</v>
      </c>
    </row>
    <row r="9" spans="1:4" x14ac:dyDescent="0.2">
      <c r="A9" s="24">
        <v>36201</v>
      </c>
      <c r="B9" s="27">
        <v>5.2124576993684704</v>
      </c>
      <c r="C9" s="22">
        <f t="shared" si="0"/>
        <v>0.19133186674807945</v>
      </c>
      <c r="D9" s="6">
        <f t="shared" si="1"/>
        <v>-3.5406979566301039E-2</v>
      </c>
    </row>
    <row r="10" spans="1:4" x14ac:dyDescent="0.2">
      <c r="A10" s="7">
        <v>36616</v>
      </c>
      <c r="B10" s="27">
        <v>5.2282921778878002</v>
      </c>
      <c r="C10" s="22">
        <f t="shared" si="0"/>
        <v>-1.5834478519329842E-2</v>
      </c>
      <c r="D10" s="6">
        <f t="shared" si="1"/>
        <v>3.037814296555023E-3</v>
      </c>
    </row>
    <row r="11" spans="1:4" x14ac:dyDescent="0.2">
      <c r="A11" s="24">
        <v>36985</v>
      </c>
      <c r="B11" s="27">
        <v>5.1004463693344402</v>
      </c>
      <c r="C11" s="22">
        <f t="shared" si="0"/>
        <v>0.12784580855336003</v>
      </c>
      <c r="D11" s="6">
        <f t="shared" si="1"/>
        <v>-2.4452690133512967E-2</v>
      </c>
    </row>
    <row r="12" spans="1:4" x14ac:dyDescent="0.2">
      <c r="A12" s="7">
        <v>37361</v>
      </c>
      <c r="B12" s="27">
        <v>6.6445897998771102</v>
      </c>
      <c r="C12" s="22">
        <f t="shared" si="0"/>
        <v>-1.54414343054267</v>
      </c>
      <c r="D12" s="6">
        <f t="shared" si="1"/>
        <v>0.30274672425271792</v>
      </c>
    </row>
    <row r="13" spans="1:4" x14ac:dyDescent="0.2">
      <c r="A13" s="7">
        <v>37697</v>
      </c>
      <c r="B13" s="27">
        <v>6.4624498358654296</v>
      </c>
      <c r="C13" s="22">
        <f t="shared" si="0"/>
        <v>0.18213996401168053</v>
      </c>
      <c r="D13" s="6">
        <f t="shared" si="1"/>
        <v>-2.7411769499307414E-2</v>
      </c>
    </row>
    <row r="14" spans="1:4" x14ac:dyDescent="0.2">
      <c r="A14" s="24">
        <v>38064</v>
      </c>
      <c r="B14" s="27">
        <v>6.6445897998771102</v>
      </c>
      <c r="C14" s="22">
        <f t="shared" si="0"/>
        <v>-0.18213996401168053</v>
      </c>
      <c r="D14" s="6">
        <f t="shared" si="1"/>
        <v>2.8184352472778455E-2</v>
      </c>
    </row>
    <row r="15" spans="1:4" x14ac:dyDescent="0.2">
      <c r="A15" s="24">
        <v>38432</v>
      </c>
      <c r="B15" s="27">
        <v>6.6814770495737497</v>
      </c>
      <c r="C15" s="22">
        <f t="shared" si="0"/>
        <v>-3.6887249696639479E-2</v>
      </c>
      <c r="D15" s="6">
        <f t="shared" si="1"/>
        <v>5.5514713184133197E-3</v>
      </c>
    </row>
    <row r="16" spans="1:4" x14ac:dyDescent="0.2">
      <c r="A16" s="24">
        <v>38816</v>
      </c>
      <c r="B16" s="27">
        <v>5.4326567400061467</v>
      </c>
      <c r="C16" s="22">
        <f t="shared" si="0"/>
        <v>1.2488203095676029</v>
      </c>
      <c r="D16" s="6">
        <f t="shared" si="1"/>
        <v>-0.1869078199778105</v>
      </c>
    </row>
    <row r="17" spans="1:4" x14ac:dyDescent="0.2">
      <c r="A17" s="24">
        <v>39168</v>
      </c>
      <c r="B17" s="27">
        <v>6.0327602491502903</v>
      </c>
      <c r="C17" s="22">
        <f t="shared" si="0"/>
        <v>-0.60010350914414357</v>
      </c>
      <c r="D17" s="6">
        <f t="shared" si="1"/>
        <v>0.11046225408002946</v>
      </c>
    </row>
    <row r="18" spans="1:4" x14ac:dyDescent="0.2">
      <c r="A18" s="24">
        <v>39497</v>
      </c>
      <c r="B18" s="27">
        <v>6.4720000000000004</v>
      </c>
      <c r="C18" s="22">
        <f t="shared" si="0"/>
        <v>-0.43923975084971012</v>
      </c>
      <c r="D18" s="6">
        <f t="shared" si="1"/>
        <v>7.2809084516756106E-2</v>
      </c>
    </row>
    <row r="19" spans="1:4" x14ac:dyDescent="0.2">
      <c r="A19" s="24">
        <v>39913</v>
      </c>
      <c r="B19" s="27">
        <v>5.0420526344092691</v>
      </c>
      <c r="C19" s="22">
        <f t="shared" si="0"/>
        <v>1.4299473655907313</v>
      </c>
      <c r="D19" s="6">
        <f t="shared" si="1"/>
        <v>-0.22094365970190533</v>
      </c>
    </row>
    <row r="20" spans="1:4" x14ac:dyDescent="0.2">
      <c r="A20" s="24">
        <v>40256</v>
      </c>
      <c r="B20" s="27">
        <v>5.5873965689648344</v>
      </c>
      <c r="C20" s="22">
        <f t="shared" si="0"/>
        <v>-0.54534393455556529</v>
      </c>
      <c r="D20" s="6">
        <f t="shared" si="1"/>
        <v>0.10815911179385342</v>
      </c>
    </row>
    <row r="21" spans="1:4" x14ac:dyDescent="0.2">
      <c r="A21" s="25">
        <v>40592</v>
      </c>
      <c r="B21" s="27">
        <v>5.4061397564055298</v>
      </c>
      <c r="C21" s="22">
        <f t="shared" si="0"/>
        <v>0.18125681255930459</v>
      </c>
      <c r="D21" s="6">
        <f t="shared" si="1"/>
        <v>-3.244029850433288E-2</v>
      </c>
    </row>
    <row r="22" spans="1:4" x14ac:dyDescent="0.2">
      <c r="A22" s="24">
        <v>40608</v>
      </c>
      <c r="B22" s="27">
        <v>4.9684994791148336</v>
      </c>
      <c r="C22" s="22">
        <f t="shared" si="0"/>
        <v>0.43764027729069621</v>
      </c>
      <c r="D22" s="6">
        <f t="shared" si="1"/>
        <v>-8.0952453508467456E-2</v>
      </c>
    </row>
    <row r="23" spans="1:4" x14ac:dyDescent="0.2">
      <c r="A23" s="7">
        <v>42089</v>
      </c>
      <c r="B23" s="27">
        <v>4.2339259064180004</v>
      </c>
      <c r="C23" s="22">
        <f t="shared" si="0"/>
        <v>0.73457357269683321</v>
      </c>
      <c r="D23" s="6">
        <f t="shared" si="1"/>
        <v>-0.1478461607542931</v>
      </c>
    </row>
    <row r="24" spans="1:4" x14ac:dyDescent="0.2">
      <c r="A24" s="10">
        <v>42448</v>
      </c>
      <c r="B24" s="27">
        <v>4.6525581210615599</v>
      </c>
      <c r="C24" s="22">
        <f t="shared" si="0"/>
        <v>-0.41863221464355949</v>
      </c>
      <c r="D24" s="6">
        <f t="shared" si="1"/>
        <v>9.887565911556824E-2</v>
      </c>
    </row>
    <row r="25" spans="1:4" ht="17" x14ac:dyDescent="0.2">
      <c r="A25" s="8">
        <v>42811</v>
      </c>
      <c r="B25" s="27">
        <v>4.8248853013367885</v>
      </c>
      <c r="C25" s="22">
        <f t="shared" si="0"/>
        <v>-0.17232718027522864</v>
      </c>
      <c r="D25" s="6">
        <f t="shared" si="1"/>
        <v>3.7039232136644278E-2</v>
      </c>
    </row>
    <row r="26" spans="1:4" ht="17" x14ac:dyDescent="0.2">
      <c r="A26" s="8">
        <v>43191</v>
      </c>
      <c r="B26" s="27">
        <v>4.7692162048664599</v>
      </c>
      <c r="C26" s="22">
        <f t="shared" si="0"/>
        <v>5.5669096470328583E-2</v>
      </c>
      <c r="D26" s="6">
        <f t="shared" si="1"/>
        <v>-1.1537910850420597E-2</v>
      </c>
    </row>
    <row r="27" spans="1:4" ht="17" x14ac:dyDescent="0.2">
      <c r="A27" s="8">
        <v>43551</v>
      </c>
      <c r="B27" s="27">
        <v>4.91379929366326</v>
      </c>
      <c r="C27" s="22">
        <f t="shared" si="0"/>
        <v>-0.14458308879680004</v>
      </c>
      <c r="D27" s="6">
        <f t="shared" si="1"/>
        <v>3.0315901520520064E-2</v>
      </c>
    </row>
    <row r="28" spans="1:4" ht="17" x14ac:dyDescent="0.2">
      <c r="A28" s="8">
        <v>43916</v>
      </c>
      <c r="B28" s="27">
        <v>4.2029903700242297</v>
      </c>
      <c r="C28" s="22">
        <f t="shared" si="0"/>
        <v>0.71080892363903025</v>
      </c>
      <c r="D28" s="6">
        <f t="shared" si="1"/>
        <v>-0.14465566889467293</v>
      </c>
    </row>
    <row r="29" spans="1:4" ht="17" x14ac:dyDescent="0.2">
      <c r="A29" s="9">
        <v>44276</v>
      </c>
      <c r="B29" s="27">
        <v>4.5733831887512304</v>
      </c>
      <c r="C29" s="22">
        <f t="shared" si="0"/>
        <v>-0.37039281872700069</v>
      </c>
      <c r="D29" s="6">
        <f t="shared" si="1"/>
        <v>8.8126021265393817E-2</v>
      </c>
    </row>
    <row r="30" spans="1:4" ht="17" x14ac:dyDescent="0.2">
      <c r="A30" s="8">
        <v>44631</v>
      </c>
      <c r="B30" s="27">
        <v>3.5275835640810924</v>
      </c>
      <c r="C30" s="22">
        <f t="shared" si="0"/>
        <v>1.045799624670138</v>
      </c>
      <c r="D30" s="6">
        <f t="shared" si="1"/>
        <v>-0.22867089450155942</v>
      </c>
    </row>
    <row r="31" spans="1:4" ht="17" x14ac:dyDescent="0.2">
      <c r="A31" s="8">
        <v>45009</v>
      </c>
      <c r="B31" s="27">
        <v>2.6412730566567229</v>
      </c>
      <c r="C31" s="22">
        <f t="shared" si="0"/>
        <v>0.88631050742436956</v>
      </c>
      <c r="D31" s="6">
        <f t="shared" si="1"/>
        <v>-0.25125145622319123</v>
      </c>
    </row>
    <row r="32" spans="1:4" ht="17" x14ac:dyDescent="0.2">
      <c r="A32" s="8">
        <v>45379</v>
      </c>
      <c r="B32" s="27">
        <v>5.5316882926527846</v>
      </c>
      <c r="C32" s="22">
        <f t="shared" si="0"/>
        <v>-2.8904152359960618</v>
      </c>
      <c r="D32" s="6">
        <f t="shared" si="1"/>
        <v>1.0943265516268503</v>
      </c>
    </row>
    <row r="33" spans="1:5" ht="17" x14ac:dyDescent="0.2">
      <c r="A33" s="8">
        <v>45729</v>
      </c>
      <c r="B33" s="27">
        <v>3.9792538561810153</v>
      </c>
      <c r="C33" s="22">
        <f t="shared" si="0"/>
        <v>1.5524344364717693</v>
      </c>
      <c r="D33" s="6">
        <f t="shared" si="1"/>
        <v>-0.2806438747703337</v>
      </c>
    </row>
    <row r="40" spans="1:5" x14ac:dyDescent="0.2">
      <c r="E40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FB69-55A6-A548-B887-F4756897B95C}">
  <dimension ref="A1:D42"/>
  <sheetViews>
    <sheetView showGridLines="0" topLeftCell="A5" workbookViewId="0">
      <selection activeCell="M16" sqref="M16"/>
    </sheetView>
  </sheetViews>
  <sheetFormatPr baseColWidth="10" defaultRowHeight="16" x14ac:dyDescent="0.2"/>
  <cols>
    <col min="1" max="1" width="16.1640625" style="1" customWidth="1"/>
    <col min="2" max="2" width="10.83203125" style="21"/>
    <col min="3" max="16384" width="10.83203125" style="1"/>
  </cols>
  <sheetData>
    <row r="1" spans="1:4" x14ac:dyDescent="0.2">
      <c r="B1" s="1"/>
    </row>
    <row r="2" spans="1:4" ht="68" x14ac:dyDescent="0.2">
      <c r="A2" s="3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5">
        <v>27695</v>
      </c>
      <c r="B3" s="19">
        <v>63.753457146231597</v>
      </c>
      <c r="C3" s="2"/>
    </row>
    <row r="4" spans="1:4" x14ac:dyDescent="0.2">
      <c r="A4" s="5">
        <v>28055</v>
      </c>
      <c r="B4" s="19">
        <v>61.896173028497401</v>
      </c>
      <c r="C4" s="2">
        <f>B3-B4</f>
        <v>1.8572841177341957</v>
      </c>
      <c r="D4" s="23">
        <f t="shared" ref="D4:D42" si="0">(B4-B3)/B3</f>
        <v>-2.913228867689692E-2</v>
      </c>
    </row>
    <row r="5" spans="1:4" x14ac:dyDescent="0.2">
      <c r="A5" s="5">
        <v>28451</v>
      </c>
      <c r="B5" s="19">
        <f>60.736529617731+0.27655606962963</f>
        <v>61.013085687360629</v>
      </c>
      <c r="C5" s="2">
        <f t="shared" ref="C5:C42" si="1">B4-B5</f>
        <v>0.8830873411367719</v>
      </c>
      <c r="D5" s="23">
        <f t="shared" si="0"/>
        <v>-1.4267236533835343E-2</v>
      </c>
    </row>
    <row r="6" spans="1:4" x14ac:dyDescent="0.2">
      <c r="A6" s="5">
        <v>29162</v>
      </c>
      <c r="B6" s="19">
        <v>58.137226740091698</v>
      </c>
      <c r="C6" s="2">
        <f t="shared" si="1"/>
        <v>2.8758589472689309</v>
      </c>
      <c r="D6" s="23">
        <f t="shared" si="0"/>
        <v>-4.7135117243622529E-2</v>
      </c>
    </row>
    <row r="7" spans="1:4" x14ac:dyDescent="0.2">
      <c r="A7" s="5">
        <v>29495</v>
      </c>
      <c r="B7" s="19">
        <v>55.128085062263537</v>
      </c>
      <c r="C7" s="2">
        <f t="shared" si="1"/>
        <v>3.0091416778281612</v>
      </c>
      <c r="D7" s="23">
        <f t="shared" si="0"/>
        <v>-5.1759291706170142E-2</v>
      </c>
    </row>
    <row r="8" spans="1:4" x14ac:dyDescent="0.2">
      <c r="A8" s="5">
        <v>29779</v>
      </c>
      <c r="B8" s="19">
        <v>56.245015667952202</v>
      </c>
      <c r="C8" s="2">
        <f t="shared" si="1"/>
        <v>-1.1169306056886654</v>
      </c>
      <c r="D8" s="23">
        <f t="shared" si="0"/>
        <v>2.0260645811062836E-2</v>
      </c>
    </row>
    <row r="9" spans="1:4" x14ac:dyDescent="0.2">
      <c r="A9" s="5">
        <v>31740</v>
      </c>
      <c r="B9" s="19">
        <v>56.639851113426701</v>
      </c>
      <c r="C9" s="2">
        <f t="shared" si="1"/>
        <v>-0.39483544547449867</v>
      </c>
      <c r="D9" s="23">
        <f t="shared" si="0"/>
        <v>7.0199188458840026E-3</v>
      </c>
    </row>
    <row r="10" spans="1:4" x14ac:dyDescent="0.2">
      <c r="A10" s="5">
        <v>32092</v>
      </c>
      <c r="B10" s="19">
        <v>56.031388544359899</v>
      </c>
      <c r="C10" s="2">
        <f t="shared" si="1"/>
        <v>0.60846256906680196</v>
      </c>
      <c r="D10" s="23">
        <f t="shared" si="0"/>
        <v>-1.0742658342238535E-2</v>
      </c>
    </row>
    <row r="11" spans="1:4" x14ac:dyDescent="0.2">
      <c r="A11" s="5">
        <v>32476</v>
      </c>
      <c r="B11" s="19">
        <v>53.151633851108897</v>
      </c>
      <c r="C11" s="2">
        <f t="shared" si="1"/>
        <v>2.8797546932510016</v>
      </c>
      <c r="D11" s="23">
        <f t="shared" si="0"/>
        <v>-5.1395383338949517E-2</v>
      </c>
    </row>
    <row r="12" spans="1:4" x14ac:dyDescent="0.2">
      <c r="A12" s="18">
        <v>32820</v>
      </c>
      <c r="B12" s="19">
        <v>54.132827296106001</v>
      </c>
      <c r="C12" s="2">
        <f t="shared" si="1"/>
        <v>-0.98119344499710337</v>
      </c>
      <c r="D12" s="23">
        <f t="shared" si="0"/>
        <v>1.8460268742550287E-2</v>
      </c>
    </row>
    <row r="13" spans="1:4" x14ac:dyDescent="0.2">
      <c r="A13" s="5">
        <v>33516</v>
      </c>
      <c r="B13" s="19">
        <v>54.918390158012997</v>
      </c>
      <c r="C13" s="2">
        <f t="shared" si="1"/>
        <v>-0.78556286190699609</v>
      </c>
      <c r="D13" s="23">
        <f t="shared" si="0"/>
        <v>1.4511764878083597E-2</v>
      </c>
    </row>
    <row r="14" spans="1:4" x14ac:dyDescent="0.2">
      <c r="A14" s="5">
        <v>33884</v>
      </c>
      <c r="B14" s="19">
        <v>51.808995493285302</v>
      </c>
      <c r="C14" s="2">
        <f t="shared" si="1"/>
        <v>3.1093946647276951</v>
      </c>
      <c r="D14" s="23">
        <f t="shared" si="0"/>
        <v>-5.6618459786990163E-2</v>
      </c>
    </row>
    <row r="15" spans="1:4" x14ac:dyDescent="0.2">
      <c r="A15" s="5">
        <v>34300</v>
      </c>
      <c r="B15" s="19">
        <v>52.092272706738001</v>
      </c>
      <c r="C15" s="2">
        <f t="shared" si="1"/>
        <v>-0.28327721345269907</v>
      </c>
      <c r="D15" s="23">
        <f t="shared" si="0"/>
        <v>5.4677225596742787E-3</v>
      </c>
    </row>
    <row r="16" spans="1:4" x14ac:dyDescent="0.2">
      <c r="A16" s="5">
        <v>34668</v>
      </c>
      <c r="B16" s="19">
        <v>51.233090937674802</v>
      </c>
      <c r="C16" s="2">
        <f t="shared" si="1"/>
        <v>0.85918176906319843</v>
      </c>
      <c r="D16" s="23">
        <f t="shared" si="0"/>
        <v>-1.649345909517335E-2</v>
      </c>
    </row>
    <row r="17" spans="1:4" x14ac:dyDescent="0.2">
      <c r="A17" s="5">
        <v>34988</v>
      </c>
      <c r="B17" s="19">
        <v>50.189362035083398</v>
      </c>
      <c r="C17" s="2">
        <f t="shared" si="1"/>
        <v>1.0437289025914041</v>
      </c>
      <c r="D17" s="23">
        <f t="shared" si="0"/>
        <v>-2.0372163449226655E-2</v>
      </c>
    </row>
    <row r="18" spans="1:4" x14ac:dyDescent="0.2">
      <c r="A18" s="5">
        <v>35372</v>
      </c>
      <c r="B18" s="19">
        <v>50.794590863961297</v>
      </c>
      <c r="C18" s="2">
        <f t="shared" si="1"/>
        <v>-0.6052288288778982</v>
      </c>
      <c r="D18" s="23">
        <f t="shared" si="0"/>
        <v>1.2058906595681188E-2</v>
      </c>
    </row>
    <row r="19" spans="1:4" x14ac:dyDescent="0.2">
      <c r="A19" s="5">
        <v>35740</v>
      </c>
      <c r="B19" s="19">
        <v>52.358836707529797</v>
      </c>
      <c r="C19" s="2">
        <f t="shared" si="1"/>
        <v>-1.5642458435685</v>
      </c>
      <c r="D19" s="23">
        <f t="shared" si="0"/>
        <v>3.0795520093032793E-2</v>
      </c>
    </row>
    <row r="20" spans="1:4" x14ac:dyDescent="0.2">
      <c r="A20" s="5">
        <v>36124</v>
      </c>
      <c r="B20" s="19">
        <v>53.9020657202677</v>
      </c>
      <c r="C20" s="2">
        <f t="shared" si="1"/>
        <v>-1.5432290127379034</v>
      </c>
      <c r="D20" s="23">
        <f t="shared" si="0"/>
        <v>2.9474088993959056E-2</v>
      </c>
    </row>
    <row r="21" spans="1:4" x14ac:dyDescent="0.2">
      <c r="A21" s="5">
        <v>36844</v>
      </c>
      <c r="B21" s="19">
        <v>53.255889709405402</v>
      </c>
      <c r="C21" s="2">
        <f t="shared" si="1"/>
        <v>0.64617601086229826</v>
      </c>
      <c r="D21" s="23">
        <f t="shared" si="0"/>
        <v>-1.1987963767765765E-2</v>
      </c>
    </row>
    <row r="22" spans="1:4" x14ac:dyDescent="0.2">
      <c r="A22" s="5">
        <v>37212</v>
      </c>
      <c r="B22" s="19">
        <v>51.673091960700098</v>
      </c>
      <c r="C22" s="2">
        <f t="shared" si="1"/>
        <v>1.5827977487053033</v>
      </c>
      <c r="D22" s="23">
        <f t="shared" si="0"/>
        <v>-2.972061413943046E-2</v>
      </c>
    </row>
    <row r="23" spans="1:4" x14ac:dyDescent="0.2">
      <c r="A23" s="5">
        <v>37932</v>
      </c>
      <c r="B23" s="19">
        <v>49.656076835982297</v>
      </c>
      <c r="C23" s="2">
        <f t="shared" si="1"/>
        <v>2.0170151247178012</v>
      </c>
      <c r="D23" s="23">
        <f t="shared" si="0"/>
        <v>-3.9034148106558815E-2</v>
      </c>
    </row>
    <row r="24" spans="1:4" x14ac:dyDescent="0.2">
      <c r="A24" s="5">
        <v>38284</v>
      </c>
      <c r="B24" s="19">
        <v>49.935763305170802</v>
      </c>
      <c r="C24" s="2">
        <f t="shared" si="1"/>
        <v>-0.27968646918850482</v>
      </c>
      <c r="D24" s="23">
        <f t="shared" si="0"/>
        <v>5.6324721365388969E-3</v>
      </c>
    </row>
    <row r="25" spans="1:4" x14ac:dyDescent="0.2">
      <c r="A25" s="5">
        <v>38668</v>
      </c>
      <c r="B25" s="19">
        <v>50.220229292139997</v>
      </c>
      <c r="C25" s="2">
        <f t="shared" si="1"/>
        <v>-0.28446598696919523</v>
      </c>
      <c r="D25" s="23">
        <f t="shared" si="0"/>
        <v>5.6966384038378967E-3</v>
      </c>
    </row>
    <row r="26" spans="1:4" x14ac:dyDescent="0.2">
      <c r="A26" s="5">
        <v>39020</v>
      </c>
      <c r="B26" s="19">
        <v>49.511323230898398</v>
      </c>
      <c r="C26" s="2">
        <f t="shared" si="1"/>
        <v>0.70890606124159916</v>
      </c>
      <c r="D26" s="23">
        <f t="shared" si="0"/>
        <v>-1.411594632748024E-2</v>
      </c>
    </row>
    <row r="27" spans="1:4" x14ac:dyDescent="0.2">
      <c r="A27" s="5">
        <v>39356</v>
      </c>
      <c r="B27" s="19">
        <v>49.438341138945901</v>
      </c>
      <c r="C27" s="2">
        <f t="shared" si="1"/>
        <v>7.298209195249683E-2</v>
      </c>
      <c r="D27" s="23">
        <f t="shared" si="0"/>
        <v>-1.4740485042611644E-3</v>
      </c>
    </row>
    <row r="28" spans="1:4" x14ac:dyDescent="0.2">
      <c r="A28" s="5">
        <v>39772</v>
      </c>
      <c r="B28" s="19">
        <v>46.174054367013099</v>
      </c>
      <c r="C28" s="2">
        <f t="shared" si="1"/>
        <v>3.2642867719328024</v>
      </c>
      <c r="D28" s="23">
        <f t="shared" si="0"/>
        <v>-6.6027433298349578E-2</v>
      </c>
    </row>
    <row r="29" spans="1:4" x14ac:dyDescent="0.2">
      <c r="A29" s="5">
        <v>40108</v>
      </c>
      <c r="B29" s="19">
        <v>46.665930935940096</v>
      </c>
      <c r="C29" s="2">
        <f t="shared" si="1"/>
        <v>-0.49187656892699749</v>
      </c>
      <c r="D29" s="23">
        <f t="shared" si="0"/>
        <v>1.0652661449595291E-2</v>
      </c>
    </row>
    <row r="30" spans="1:4" x14ac:dyDescent="0.2">
      <c r="A30" s="5">
        <v>40476</v>
      </c>
      <c r="B30" s="19">
        <v>45.718704639056497</v>
      </c>
      <c r="C30" s="2">
        <f t="shared" si="1"/>
        <v>0.94722629688359916</v>
      </c>
      <c r="D30" s="23">
        <f t="shared" si="0"/>
        <v>-2.0298026373541948E-2</v>
      </c>
    </row>
    <row r="31" spans="1:4" x14ac:dyDescent="0.2">
      <c r="A31" s="5">
        <v>41580</v>
      </c>
      <c r="B31" s="19">
        <v>47.0598650306626</v>
      </c>
      <c r="C31" s="2">
        <f t="shared" si="1"/>
        <v>-1.3411603916061026</v>
      </c>
      <c r="D31" s="23">
        <f t="shared" si="0"/>
        <v>2.9335047923916426E-2</v>
      </c>
    </row>
    <row r="32" spans="1:4" x14ac:dyDescent="0.2">
      <c r="A32" s="5">
        <v>41948</v>
      </c>
      <c r="B32" s="19">
        <v>45.235138734060897</v>
      </c>
      <c r="C32" s="2">
        <f t="shared" si="1"/>
        <v>1.8247262966017033</v>
      </c>
      <c r="D32" s="23">
        <f t="shared" si="0"/>
        <v>-3.8774575647694147E-2</v>
      </c>
    </row>
    <row r="33" spans="1:4" x14ac:dyDescent="0.2">
      <c r="A33" s="5">
        <v>42316</v>
      </c>
      <c r="B33" s="19">
        <v>44.91682483855017</v>
      </c>
      <c r="C33" s="2">
        <f t="shared" si="1"/>
        <v>0.31831389551072675</v>
      </c>
      <c r="D33" s="23">
        <f t="shared" si="0"/>
        <v>-7.036872316941621E-3</v>
      </c>
    </row>
    <row r="34" spans="1:4" x14ac:dyDescent="0.2">
      <c r="A34" s="5">
        <v>42690</v>
      </c>
      <c r="B34" s="20">
        <v>43.149001721666046</v>
      </c>
      <c r="C34" s="2">
        <f t="shared" si="1"/>
        <v>1.7678231168841236</v>
      </c>
      <c r="D34" s="23">
        <f t="shared" si="0"/>
        <v>-3.9357704451247796E-2</v>
      </c>
    </row>
    <row r="35" spans="1:4" x14ac:dyDescent="0.2">
      <c r="A35" s="5">
        <v>43065</v>
      </c>
      <c r="B35" s="20">
        <v>41.183966813290198</v>
      </c>
      <c r="C35" s="2">
        <f t="shared" si="1"/>
        <v>1.9650349083758485</v>
      </c>
      <c r="D35" s="23">
        <f t="shared" si="0"/>
        <v>-4.5540680663978421E-2</v>
      </c>
    </row>
    <row r="36" spans="1:4" x14ac:dyDescent="0.2">
      <c r="A36" s="5">
        <v>43420</v>
      </c>
      <c r="B36" s="20">
        <v>41.8295910912842</v>
      </c>
      <c r="C36" s="2">
        <f t="shared" si="1"/>
        <v>-0.64562427799400268</v>
      </c>
      <c r="D36" s="23">
        <f t="shared" si="0"/>
        <v>1.5676592809065144E-2</v>
      </c>
    </row>
    <row r="37" spans="1:4" x14ac:dyDescent="0.2">
      <c r="A37" s="5">
        <v>44160</v>
      </c>
      <c r="B37" s="20">
        <v>41.626482541834683</v>
      </c>
      <c r="C37" s="2">
        <f t="shared" si="1"/>
        <v>0.20310854944951728</v>
      </c>
      <c r="D37" s="23">
        <f t="shared" si="0"/>
        <v>-4.8556188131573174E-3</v>
      </c>
    </row>
    <row r="38" spans="1:4" x14ac:dyDescent="0.2">
      <c r="A38" s="5">
        <v>44510</v>
      </c>
      <c r="B38" s="20">
        <v>41.520330127083241</v>
      </c>
      <c r="C38" s="2">
        <f t="shared" si="1"/>
        <v>0.10615241475144188</v>
      </c>
      <c r="D38" s="23">
        <f t="shared" si="0"/>
        <v>-2.5501173356350377E-3</v>
      </c>
    </row>
    <row r="39" spans="1:4" x14ac:dyDescent="0.2">
      <c r="A39" s="5">
        <v>44885</v>
      </c>
      <c r="B39" s="20">
        <v>38.381223475500903</v>
      </c>
      <c r="C39" s="2">
        <f t="shared" si="1"/>
        <v>3.1391066515823383</v>
      </c>
      <c r="D39" s="23">
        <f t="shared" si="0"/>
        <v>-7.5604087009287405E-2</v>
      </c>
    </row>
    <row r="40" spans="1:4" x14ac:dyDescent="0.2">
      <c r="A40" s="5">
        <v>45250</v>
      </c>
      <c r="B40" s="20">
        <v>44.711939881364202</v>
      </c>
      <c r="C40" s="2">
        <f t="shared" si="1"/>
        <v>-6.3307164058632992</v>
      </c>
      <c r="D40" s="23">
        <f t="shared" si="0"/>
        <v>0.164943058938813</v>
      </c>
    </row>
    <row r="41" spans="1:4" x14ac:dyDescent="0.2">
      <c r="A41" s="5">
        <v>45615</v>
      </c>
      <c r="B41" s="20">
        <v>42.070857432158398</v>
      </c>
      <c r="C41" s="2">
        <f t="shared" si="1"/>
        <v>2.641082449205804</v>
      </c>
      <c r="D41" s="23">
        <f t="shared" si="0"/>
        <v>-5.9068840587401999E-2</v>
      </c>
    </row>
    <row r="42" spans="1:4" x14ac:dyDescent="0.2">
      <c r="A42" s="5">
        <v>45982</v>
      </c>
      <c r="B42" s="20">
        <v>41.128694153525743</v>
      </c>
      <c r="C42" s="2">
        <f t="shared" si="1"/>
        <v>0.94216327863265548</v>
      </c>
      <c r="D42" s="23">
        <f t="shared" si="0"/>
        <v>-2.2394677364300127E-2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Guanaco</vt:lpstr>
      <vt:lpstr>Osorno</vt:lpstr>
      <vt:lpstr>Coropuna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Konietzko</dc:creator>
  <cp:lastModifiedBy>Anna Konietzko</cp:lastModifiedBy>
  <dcterms:created xsi:type="dcterms:W3CDTF">2026-04-01T09:35:22Z</dcterms:created>
  <dcterms:modified xsi:type="dcterms:W3CDTF">2026-05-30T18:16:00Z</dcterms:modified>
</cp:coreProperties>
</file>